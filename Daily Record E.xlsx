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A28044-81C7-491C-9AD9-3E3F90897FCD}" xr6:coauthVersionLast="47" xr6:coauthVersionMax="47" xr10:uidLastSave="{00000000-0000-0000-0000-000000000000}"/>
  <bookViews>
    <workbookView xWindow="-120" yWindow="-120" windowWidth="20730" windowHeight="11160" activeTab="1" xr2:uid="{724270F6-238E-4C99-A423-196AB8D80E72}"/>
  </bookViews>
  <sheets>
    <sheet name="Sheet1" sheetId="1" r:id="rId1"/>
    <sheet name="Sheet4" sheetId="5" r:id="rId2"/>
    <sheet name="Daily Record Sheet_x0009__x0009__x0009__x0009__x0009_Daily Re" sheetId="2" r:id="rId3"/>
    <sheet name="Sheet3" sheetId="3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H4" i="5"/>
  <c r="H3" i="5"/>
  <c r="E7" i="5"/>
  <c r="E8" i="5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" i="5" s="1"/>
  <c r="E6" i="5"/>
  <c r="E5" i="5"/>
  <c r="I6" i="4"/>
  <c r="I5" i="4"/>
  <c r="I4" i="4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20" i="4" s="1"/>
  <c r="E21" i="4" s="1"/>
  <c r="E2" i="4" s="1"/>
  <c r="E17" i="3"/>
  <c r="E18" i="3" s="1"/>
  <c r="E19" i="3" s="1"/>
  <c r="E20" i="3" s="1"/>
  <c r="E21" i="3" s="1"/>
  <c r="J6" i="3"/>
  <c r="J5" i="3"/>
  <c r="J4" i="3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J6" i="1"/>
  <c r="J7" i="1" s="1"/>
  <c r="J5" i="1"/>
  <c r="J4" i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" i="2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" i="1" s="1"/>
  <c r="H6" i="5" l="1"/>
  <c r="E19" i="4"/>
  <c r="I7" i="4"/>
  <c r="E22" i="3"/>
  <c r="E2" i="3" s="1"/>
  <c r="J7" i="3"/>
</calcChain>
</file>

<file path=xl/sharedStrings.xml><?xml version="1.0" encoding="utf-8"?>
<sst xmlns="http://schemas.openxmlformats.org/spreadsheetml/2006/main" count="92" uniqueCount="21">
  <si>
    <t>Opening Balance</t>
  </si>
  <si>
    <t>Date</t>
  </si>
  <si>
    <t>Details</t>
  </si>
  <si>
    <t>Income</t>
  </si>
  <si>
    <t>Expenses</t>
  </si>
  <si>
    <t>Balance</t>
  </si>
  <si>
    <t>Date:</t>
  </si>
  <si>
    <t>Daily Record Sheet</t>
  </si>
  <si>
    <t>Current Balance</t>
  </si>
  <si>
    <t>Electricity</t>
  </si>
  <si>
    <t>Received Cash</t>
  </si>
  <si>
    <t>Stationery</t>
  </si>
  <si>
    <t>Lunch</t>
  </si>
  <si>
    <t>Fee Received</t>
  </si>
  <si>
    <t>Clothes</t>
  </si>
  <si>
    <t>Salary</t>
  </si>
  <si>
    <t>Tax</t>
  </si>
  <si>
    <t>Total Income</t>
  </si>
  <si>
    <t>Total Expenses</t>
  </si>
  <si>
    <t>Electricty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</si>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</sst>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[$-F800]dddd\,\ mmmm\ dd\,\ yyyy"/>
    <numFmt numFmtId="165" formatCode="_-[$₦-469]\ * #,##0_-;\-[$₦-469]\ * #,##0_-;_-[$₦-469]\ * &quot;-&quot;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7" borderId="1" xfId="0" applyFont="1" applyFill="1" applyBorder="1"/>
    <xf numFmtId="0" fontId="4" fillId="4" borderId="0" xfId="0" applyFont="1" applyFill="1"/>
    <xf numFmtId="0" fontId="4" fillId="3" borderId="0" xfId="0" applyFont="1" applyFill="1"/>
    <xf numFmtId="0" fontId="6" fillId="2" borderId="0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0" fillId="7" borderId="1" xfId="0" applyFill="1" applyBorder="1"/>
    <xf numFmtId="0" fontId="0" fillId="2" borderId="1" xfId="0" applyFill="1" applyBorder="1"/>
    <xf numFmtId="0" fontId="0" fillId="9" borderId="1" xfId="0" applyFill="1" applyBorder="1"/>
    <xf numFmtId="0" fontId="2" fillId="9" borderId="1" xfId="0" applyFont="1" applyFill="1" applyBorder="1"/>
    <xf numFmtId="0" fontId="3" fillId="11" borderId="0" xfId="0" applyFont="1" applyFill="1"/>
    <xf numFmtId="0" fontId="3" fillId="2" borderId="0" xfId="0" applyFont="1" applyFill="1"/>
    <xf numFmtId="0" fontId="0" fillId="5" borderId="1" xfId="0" applyFill="1" applyBorder="1"/>
    <xf numFmtId="0" fontId="0" fillId="13" borderId="1" xfId="0" applyFill="1" applyBorder="1"/>
    <xf numFmtId="0" fontId="8" fillId="10" borderId="0" xfId="0" applyFont="1" applyFill="1"/>
    <xf numFmtId="0" fontId="8" fillId="11" borderId="0" xfId="0" applyFont="1" applyFill="1"/>
    <xf numFmtId="0" fontId="0" fillId="14" borderId="1" xfId="0" applyFill="1" applyBorder="1"/>
    <xf numFmtId="0" fontId="0" fillId="15" borderId="1" xfId="0" applyFill="1" applyBorder="1"/>
    <xf numFmtId="0" fontId="3" fillId="18" borderId="0" xfId="0" applyFont="1" applyFill="1"/>
    <xf numFmtId="0" fontId="8" fillId="16" borderId="0" xfId="0" applyFont="1" applyFill="1"/>
    <xf numFmtId="0" fontId="1" fillId="17" borderId="1" xfId="0" applyFont="1" applyFill="1" applyBorder="1"/>
    <xf numFmtId="0" fontId="0" fillId="17" borderId="1" xfId="0" applyFont="1" applyFill="1" applyBorder="1"/>
    <xf numFmtId="165" fontId="8" fillId="5" borderId="0" xfId="1" applyNumberFormat="1" applyFont="1" applyFill="1"/>
    <xf numFmtId="165" fontId="8" fillId="7" borderId="0" xfId="1" applyNumberFormat="1" applyFont="1" applyFill="1" applyAlignment="1"/>
    <xf numFmtId="165" fontId="8" fillId="17" borderId="0" xfId="1" applyNumberFormat="1" applyFont="1" applyFill="1" applyAlignment="1"/>
    <xf numFmtId="165" fontId="3" fillId="0" borderId="0" xfId="0" applyNumberFormat="1" applyFont="1" applyAlignment="1"/>
    <xf numFmtId="165" fontId="3" fillId="13" borderId="0" xfId="0" applyNumberFormat="1" applyFont="1" applyFill="1" applyAlignment="1"/>
    <xf numFmtId="165" fontId="1" fillId="17" borderId="1" xfId="0" applyNumberFormat="1" applyFont="1" applyFill="1" applyBorder="1"/>
    <xf numFmtId="165" fontId="0" fillId="0" borderId="0" xfId="0" applyNumberFormat="1"/>
    <xf numFmtId="165" fontId="0" fillId="0" borderId="1" xfId="0" applyNumberFormat="1" applyBorder="1"/>
    <xf numFmtId="165" fontId="0" fillId="0" borderId="1" xfId="1" applyNumberFormat="1" applyFont="1" applyBorder="1"/>
    <xf numFmtId="165" fontId="2" fillId="13" borderId="1" xfId="1" applyNumberFormat="1" applyFont="1" applyFill="1" applyBorder="1" applyAlignment="1"/>
    <xf numFmtId="165" fontId="2" fillId="13" borderId="1" xfId="1" applyNumberFormat="1" applyFont="1" applyFill="1" applyBorder="1"/>
    <xf numFmtId="165" fontId="0" fillId="0" borderId="1" xfId="2" applyNumberFormat="1" applyFont="1" applyBorder="1"/>
    <xf numFmtId="165" fontId="0" fillId="15" borderId="1" xfId="2" applyNumberFormat="1" applyFont="1" applyFill="1" applyBorder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164" fontId="3" fillId="12" borderId="0" xfId="0" applyNumberFormat="1" applyFont="1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3" fillId="13" borderId="4" xfId="0" applyNumberFormat="1" applyFont="1" applyFill="1" applyBorder="1" applyAlignment="1">
      <alignment horizontal="center"/>
    </xf>
    <xf numFmtId="0" fontId="7" fillId="0" borderId="0" xfId="0" applyFont="1" applyAlignment="1"/>
    <xf numFmtId="0" fontId="8" fillId="19" borderId="0" xfId="0" applyFont="1" applyFill="1"/>
    <xf numFmtId="0" fontId="8" fillId="19" borderId="0" xfId="0" applyFont="1" applyFill="1" applyAlignment="1">
      <alignment horizontal="center"/>
    </xf>
    <xf numFmtId="164" fontId="3" fillId="0" borderId="0" xfId="0" applyNumberFormat="1" applyFont="1" applyAlignment="1"/>
    <xf numFmtId="164" fontId="10" fillId="10" borderId="0" xfId="0" applyNumberFormat="1" applyFont="1" applyFill="1" applyAlignment="1">
      <alignment horizontal="center"/>
    </xf>
    <xf numFmtId="0" fontId="1" fillId="15" borderId="1" xfId="0" applyFont="1" applyFill="1" applyBorder="1"/>
    <xf numFmtId="0" fontId="0" fillId="20" borderId="1" xfId="0" applyFill="1" applyBorder="1"/>
    <xf numFmtId="0" fontId="0" fillId="3" borderId="1" xfId="0" applyFill="1" applyBorder="1"/>
    <xf numFmtId="165" fontId="4" fillId="4" borderId="0" xfId="1" applyNumberFormat="1" applyFont="1" applyFill="1"/>
    <xf numFmtId="165" fontId="4" fillId="4" borderId="0" xfId="2" applyNumberFormat="1" applyFont="1" applyFill="1"/>
    <xf numFmtId="165" fontId="1" fillId="10" borderId="1" xfId="0" applyNumberFormat="1" applyFont="1" applyFill="1" applyBorder="1" applyAlignment="1">
      <alignment horizontal="center"/>
    </xf>
    <xf numFmtId="165" fontId="0" fillId="10" borderId="1" xfId="0" applyNumberFormat="1" applyFill="1" applyBorder="1" applyAlignment="1">
      <alignment horizontal="center"/>
    </xf>
    <xf numFmtId="165" fontId="0" fillId="10" borderId="1" xfId="0" applyNumberFormat="1" applyFill="1" applyBorder="1"/>
    <xf numFmtId="165" fontId="0" fillId="3" borderId="1" xfId="1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Sheet1!$D$4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E0-4BF5-9192-4F4326C105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E0-4BF5-9192-4F4326C105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E0-4BF5-9192-4F4326C105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E0-4BF5-9192-4F4326C105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E0-4BF5-9192-4F4326C105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E0-4BF5-9192-4F4326C105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E0-4BF5-9192-4F4326C105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FE0-4BF5-9192-4F4326C105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FE0-4BF5-9192-4F4326C105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FE0-4BF5-9192-4F4326C105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FE0-4BF5-9192-4F4326C105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FE0-4BF5-9192-4F4326C1051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FE0-4BF5-9192-4F4326C1051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FE0-4BF5-9192-4F4326C1051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FE0-4BF5-9192-4F4326C105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Sheet1!$A$5:$C$19</c:f>
              <c:multiLvlStrCache>
                <c:ptCount val="15"/>
                <c:lvl>
                  <c:pt idx="1">
                    <c:v>8500</c:v>
                  </c:pt>
                  <c:pt idx="4">
                    <c:v>18000</c:v>
                  </c:pt>
                  <c:pt idx="14">
                    <c:v>Balance</c:v>
                  </c:pt>
                </c:lvl>
                <c:lvl>
                  <c:pt idx="0">
                    <c:v>Electricity</c:v>
                  </c:pt>
                  <c:pt idx="1">
                    <c:v>Received Cash</c:v>
                  </c:pt>
                  <c:pt idx="2">
                    <c:v>Stationery</c:v>
                  </c:pt>
                  <c:pt idx="3">
                    <c:v>Lunch</c:v>
                  </c:pt>
                  <c:pt idx="4">
                    <c:v>Fee Received</c:v>
                  </c:pt>
                </c:lvl>
                <c:lvl>
                  <c:pt idx="0">
                    <c:v>03 January 2025</c:v>
                  </c:pt>
                  <c:pt idx="1">
                    <c:v>04 January 2025</c:v>
                  </c:pt>
                  <c:pt idx="2">
                    <c:v>05 January 2025</c:v>
                  </c:pt>
                  <c:pt idx="3">
                    <c:v>06 January 2025</c:v>
                  </c:pt>
                  <c:pt idx="4">
                    <c:v>07 January 2025</c:v>
                  </c:pt>
                </c:lvl>
              </c:multiLvlStrCache>
            </c:multiLvlStrRef>
          </c:cat>
          <c:val>
            <c:numRef>
              <c:f>Sheet1!$D$5:$D$19</c:f>
              <c:numCache>
                <c:formatCode>General</c:formatCode>
                <c:ptCount val="15"/>
                <c:pt idx="0">
                  <c:v>9500</c:v>
                </c:pt>
                <c:pt idx="2">
                  <c:v>1250</c:v>
                </c:pt>
                <c:pt idx="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9-41BC-8DB6-EEBD243C32CB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FE0-4BF5-9192-4F4326C105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FE0-4BF5-9192-4F4326C105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FE0-4BF5-9192-4F4326C105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FE0-4BF5-9192-4F4326C105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FE0-4BF5-9192-4F4326C105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FE0-4BF5-9192-4F4326C105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FE0-4BF5-9192-4F4326C105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FE0-4BF5-9192-4F4326C105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FE0-4BF5-9192-4F4326C105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FE0-4BF5-9192-4F4326C105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FE0-4BF5-9192-4F4326C105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FE0-4BF5-9192-4F4326C1051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FE0-4BF5-9192-4F4326C1051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FE0-4BF5-9192-4F4326C1051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FE0-4BF5-9192-4F4326C10514}"/>
              </c:ext>
            </c:extLst>
          </c:dPt>
          <c:cat>
            <c:multiLvlStrRef>
              <c:f>Sheet1!$A$5:$C$19</c:f>
              <c:multiLvlStrCache>
                <c:ptCount val="15"/>
                <c:lvl>
                  <c:pt idx="1">
                    <c:v>8500</c:v>
                  </c:pt>
                  <c:pt idx="4">
                    <c:v>18000</c:v>
                  </c:pt>
                  <c:pt idx="14">
                    <c:v>Balance</c:v>
                  </c:pt>
                </c:lvl>
                <c:lvl>
                  <c:pt idx="0">
                    <c:v>Electricity</c:v>
                  </c:pt>
                  <c:pt idx="1">
                    <c:v>Received Cash</c:v>
                  </c:pt>
                  <c:pt idx="2">
                    <c:v>Stationery</c:v>
                  </c:pt>
                  <c:pt idx="3">
                    <c:v>Lunch</c:v>
                  </c:pt>
                  <c:pt idx="4">
                    <c:v>Fee Received</c:v>
                  </c:pt>
                </c:lvl>
                <c:lvl>
                  <c:pt idx="0">
                    <c:v>03 January 2025</c:v>
                  </c:pt>
                  <c:pt idx="1">
                    <c:v>04 January 2025</c:v>
                  </c:pt>
                  <c:pt idx="2">
                    <c:v>05 January 2025</c:v>
                  </c:pt>
                  <c:pt idx="3">
                    <c:v>06 January 2025</c:v>
                  </c:pt>
                  <c:pt idx="4">
                    <c:v>07 January 2025</c:v>
                  </c:pt>
                </c:lvl>
              </c:multiLvlStrCache>
            </c:multiLvlStrRef>
          </c:cat>
          <c:val>
            <c:numRef>
              <c:f>Sheet1!$E$5:$E$19</c:f>
              <c:numCache>
                <c:formatCode>General</c:formatCode>
                <c:ptCount val="15"/>
                <c:pt idx="0">
                  <c:v>16500</c:v>
                </c:pt>
                <c:pt idx="1">
                  <c:v>25000</c:v>
                </c:pt>
                <c:pt idx="2">
                  <c:v>23750</c:v>
                </c:pt>
                <c:pt idx="3">
                  <c:v>22250</c:v>
                </c:pt>
                <c:pt idx="4">
                  <c:v>40250</c:v>
                </c:pt>
                <c:pt idx="5">
                  <c:v>40250</c:v>
                </c:pt>
                <c:pt idx="6">
                  <c:v>40250</c:v>
                </c:pt>
                <c:pt idx="7">
                  <c:v>40250</c:v>
                </c:pt>
                <c:pt idx="8">
                  <c:v>40250</c:v>
                </c:pt>
                <c:pt idx="9">
                  <c:v>40250</c:v>
                </c:pt>
                <c:pt idx="10">
                  <c:v>40250</c:v>
                </c:pt>
                <c:pt idx="11">
                  <c:v>40250</c:v>
                </c:pt>
                <c:pt idx="12">
                  <c:v>40250</c:v>
                </c:pt>
                <c:pt idx="13">
                  <c:v>40250</c:v>
                </c:pt>
                <c:pt idx="14">
                  <c:v>40250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9-41BC-8DB6-EEBD243C3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'Daily Record Sheet					Daily Re'!$D$4</c:f>
              <c:strCache>
                <c:ptCount val="1"/>
                <c:pt idx="0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D0-4F6C-9964-2F26E8B810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D0-4F6C-9964-2F26E8B810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D0-4F6C-9964-2F26E8B810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D0-4F6C-9964-2F26E8B810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D0-4F6C-9964-2F26E8B810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D0-4F6C-9964-2F26E8B810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D0-4F6C-9964-2F26E8B810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D0-4F6C-9964-2F26E8B810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D0-4F6C-9964-2F26E8B810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D0-4F6C-9964-2F26E8B810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DD0-4F6C-9964-2F26E8B810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DD0-4F6C-9964-2F26E8B8100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DD0-4F6C-9964-2F26E8B8100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DD0-4F6C-9964-2F26E8B8100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DD0-4F6C-9964-2F26E8B81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'Daily Record Sheet					Daily Re'!$A$5:$C$19</c:f>
              <c:multiLvlStrCache>
                <c:ptCount val="15"/>
                <c:lvl>
                  <c:pt idx="1">
                    <c:v>10000</c:v>
                  </c:pt>
                  <c:pt idx="14">
                    <c:v>Balance</c:v>
                  </c:pt>
                </c:lvl>
                <c:lvl>
                  <c:pt idx="0">
                    <c:v>Clothes</c:v>
                  </c:pt>
                  <c:pt idx="1">
                    <c:v>Salary</c:v>
                  </c:pt>
                  <c:pt idx="2">
                    <c:v>Tax</c:v>
                  </c:pt>
                </c:lvl>
                <c:lvl>
                  <c:pt idx="0">
                    <c:v>02 November 2025</c:v>
                  </c:pt>
                  <c:pt idx="1">
                    <c:v>03 November 2025</c:v>
                  </c:pt>
                  <c:pt idx="2">
                    <c:v>04 November 2025</c:v>
                  </c:pt>
                </c:lvl>
              </c:multiLvlStrCache>
            </c:multiLvlStrRef>
          </c:cat>
          <c:val>
            <c:numRef>
              <c:f>'Daily Record Sheet					Daily Re'!$D$5:$D$19</c:f>
              <c:numCache>
                <c:formatCode>General</c:formatCode>
                <c:ptCount val="15"/>
                <c:pt idx="0">
                  <c:v>2000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2-47EA-97E6-AE4C631E0137}"/>
            </c:ext>
          </c:extLst>
        </c:ser>
        <c:ser>
          <c:idx val="1"/>
          <c:order val="1"/>
          <c:tx>
            <c:strRef>
              <c:f>'Daily Record Sheet					Daily Re'!$E$4</c:f>
              <c:strCache>
                <c:ptCount val="1"/>
                <c:pt idx="0">
                  <c:v>Balance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9DD0-4F6C-9964-2F26E8B810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9DD0-4F6C-9964-2F26E8B810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9DD0-4F6C-9964-2F26E8B810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9DD0-4F6C-9964-2F26E8B810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9DD0-4F6C-9964-2F26E8B8100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9DD0-4F6C-9964-2F26E8B8100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9DD0-4F6C-9964-2F26E8B8100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9DD0-4F6C-9964-2F26E8B8100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9DD0-4F6C-9964-2F26E8B8100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9DD0-4F6C-9964-2F26E8B8100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9DD0-4F6C-9964-2F26E8B810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9DD0-4F6C-9964-2F26E8B8100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9DD0-4F6C-9964-2F26E8B8100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9DD0-4F6C-9964-2F26E8B8100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9DD0-4F6C-9964-2F26E8B81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'Daily Record Sheet					Daily Re'!$A$5:$C$19</c:f>
              <c:multiLvlStrCache>
                <c:ptCount val="15"/>
                <c:lvl>
                  <c:pt idx="1">
                    <c:v>10000</c:v>
                  </c:pt>
                  <c:pt idx="14">
                    <c:v>Balance</c:v>
                  </c:pt>
                </c:lvl>
                <c:lvl>
                  <c:pt idx="0">
                    <c:v>Clothes</c:v>
                  </c:pt>
                  <c:pt idx="1">
                    <c:v>Salary</c:v>
                  </c:pt>
                  <c:pt idx="2">
                    <c:v>Tax</c:v>
                  </c:pt>
                </c:lvl>
                <c:lvl>
                  <c:pt idx="0">
                    <c:v>02 November 2025</c:v>
                  </c:pt>
                  <c:pt idx="1">
                    <c:v>03 November 2025</c:v>
                  </c:pt>
                  <c:pt idx="2">
                    <c:v>04 November 2025</c:v>
                  </c:pt>
                </c:lvl>
              </c:multiLvlStrCache>
            </c:multiLvlStrRef>
          </c:cat>
          <c:val>
            <c:numRef>
              <c:f>'Daily Record Sheet					Daily Re'!$E$5:$E$19</c:f>
              <c:numCache>
                <c:formatCode>General</c:formatCode>
                <c:ptCount val="15"/>
                <c:pt idx="0">
                  <c:v>24000</c:v>
                </c:pt>
                <c:pt idx="1">
                  <c:v>34000</c:v>
                </c:pt>
                <c:pt idx="2">
                  <c:v>29000</c:v>
                </c:pt>
                <c:pt idx="3">
                  <c:v>29000</c:v>
                </c:pt>
                <c:pt idx="4">
                  <c:v>29000</c:v>
                </c:pt>
                <c:pt idx="5">
                  <c:v>29000</c:v>
                </c:pt>
                <c:pt idx="6">
                  <c:v>29000</c:v>
                </c:pt>
                <c:pt idx="7">
                  <c:v>29000</c:v>
                </c:pt>
                <c:pt idx="8">
                  <c:v>29000</c:v>
                </c:pt>
                <c:pt idx="9">
                  <c:v>29000</c:v>
                </c:pt>
                <c:pt idx="10">
                  <c:v>29000</c:v>
                </c:pt>
                <c:pt idx="11">
                  <c:v>29000</c:v>
                </c:pt>
                <c:pt idx="12">
                  <c:v>29000</c:v>
                </c:pt>
                <c:pt idx="13">
                  <c:v>29000</c:v>
                </c:pt>
                <c:pt idx="14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2-47EA-97E6-AE4C631E01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16-4BF0-A1D2-2C98B7D23A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6-4BF0-A1D2-2C98B7D23A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16-4BF0-A1D2-2C98B7D23A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16-4BF0-A1D2-2C98B7D23A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16-4BF0-A1D2-2C98B7D23A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316-4BF0-A1D2-2C98B7D23A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316-4BF0-A1D2-2C98B7D23A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316-4BF0-A1D2-2C98B7D23A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316-4BF0-A1D2-2C98B7D23A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316-4BF0-A1D2-2C98B7D23A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316-4BF0-A1D2-2C98B7D23A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316-4BF0-A1D2-2C98B7D23A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316-4BF0-A1D2-2C98B7D23A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316-4BF0-A1D2-2C98B7D23A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316-4BF0-A1D2-2C98B7D23A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316-4BF0-A1D2-2C98B7D23A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316-4BF0-A1D2-2C98B7D23A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Sheet3!$B$5:$B$21</c:f>
              <c:strCache>
                <c:ptCount val="6"/>
                <c:pt idx="0">
                  <c:v>Electricity</c:v>
                </c:pt>
                <c:pt idx="1">
                  <c:v>Received Cash</c:v>
                </c:pt>
                <c:pt idx="2">
                  <c:v>Stationery</c:v>
                </c:pt>
                <c:pt idx="3">
                  <c:v>Lunch</c:v>
                </c:pt>
                <c:pt idx="4">
                  <c:v>Fee Received</c:v>
                </c:pt>
                <c:pt idx="5">
                  <c:v>Tax</c:v>
                </c:pt>
              </c:strCache>
            </c:strRef>
          </c:cat>
          <c:val>
            <c:numRef>
              <c:f>Sheet3!$C$5:$C$21</c:f>
              <c:numCache>
                <c:formatCode>General</c:formatCode>
                <c:ptCount val="17"/>
                <c:pt idx="1">
                  <c:v>8500</c:v>
                </c:pt>
                <c:pt idx="4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5-4CC4-9598-2B285684628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316-4BF0-A1D2-2C98B7D23A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316-4BF0-A1D2-2C98B7D23A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316-4BF0-A1D2-2C98B7D23A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316-4BF0-A1D2-2C98B7D23A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316-4BF0-A1D2-2C98B7D23A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316-4BF0-A1D2-2C98B7D23A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316-4BF0-A1D2-2C98B7D23A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316-4BF0-A1D2-2C98B7D23A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316-4BF0-A1D2-2C98B7D23A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316-4BF0-A1D2-2C98B7D23A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316-4BF0-A1D2-2C98B7D23A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316-4BF0-A1D2-2C98B7D23A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316-4BF0-A1D2-2C98B7D23A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316-4BF0-A1D2-2C98B7D23A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316-4BF0-A1D2-2C98B7D23A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316-4BF0-A1D2-2C98B7D23A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316-4BF0-A1D2-2C98B7D23A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Sheet3!$B$5:$B$21</c:f>
              <c:strCache>
                <c:ptCount val="6"/>
                <c:pt idx="0">
                  <c:v>Electricity</c:v>
                </c:pt>
                <c:pt idx="1">
                  <c:v>Received Cash</c:v>
                </c:pt>
                <c:pt idx="2">
                  <c:v>Stationery</c:v>
                </c:pt>
                <c:pt idx="3">
                  <c:v>Lunch</c:v>
                </c:pt>
                <c:pt idx="4">
                  <c:v>Fee Received</c:v>
                </c:pt>
                <c:pt idx="5">
                  <c:v>Tax</c:v>
                </c:pt>
              </c:strCache>
            </c:strRef>
          </c:cat>
          <c:val>
            <c:numRef>
              <c:f>Sheet3!$D$5:$D$21</c:f>
              <c:numCache>
                <c:formatCode>General</c:formatCode>
                <c:ptCount val="17"/>
                <c:pt idx="0">
                  <c:v>9500</c:v>
                </c:pt>
                <c:pt idx="2">
                  <c:v>1250</c:v>
                </c:pt>
                <c:pt idx="3">
                  <c:v>1500</c:v>
                </c:pt>
                <c:pt idx="5">
                  <c:v>5000</c:v>
                </c:pt>
                <c:pt idx="6">
                  <c:v>400</c:v>
                </c:pt>
                <c:pt idx="7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5-4CC4-9598-2B28568462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Sheet3!$B$5:$B$10</c:f>
              <c:strCache>
                <c:ptCount val="6"/>
                <c:pt idx="0">
                  <c:v>Electricity</c:v>
                </c:pt>
                <c:pt idx="1">
                  <c:v>Received Cash</c:v>
                </c:pt>
                <c:pt idx="2">
                  <c:v>Stationery</c:v>
                </c:pt>
                <c:pt idx="3">
                  <c:v>Lunch</c:v>
                </c:pt>
                <c:pt idx="4">
                  <c:v>Fee Received</c:v>
                </c:pt>
                <c:pt idx="5">
                  <c:v>Tax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6"/>
                <c:pt idx="0">
                  <c:v>16500</c:v>
                </c:pt>
                <c:pt idx="1">
                  <c:v>25000</c:v>
                </c:pt>
                <c:pt idx="2">
                  <c:v>23750</c:v>
                </c:pt>
                <c:pt idx="3">
                  <c:v>22250</c:v>
                </c:pt>
                <c:pt idx="4">
                  <c:v>40250</c:v>
                </c:pt>
                <c:pt idx="5">
                  <c:v>35250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8-42D1-ADA2-274B6BDD3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152784"/>
        <c:axId val="1240142800"/>
      </c:barChart>
      <c:catAx>
        <c:axId val="12401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142800"/>
        <c:crosses val="autoZero"/>
        <c:auto val="1"/>
        <c:lblAlgn val="ctr"/>
        <c:lblOffset val="100"/>
        <c:noMultiLvlLbl val="0"/>
      </c:catAx>
      <c:valAx>
        <c:axId val="12401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15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</xdr:row>
      <xdr:rowOff>138112</xdr:rowOff>
    </xdr:from>
    <xdr:to>
      <xdr:col>16</xdr:col>
      <xdr:colOff>123825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4CE33-D1A9-4A1C-98F2-A9AFCDCD6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0</xdr:row>
      <xdr:rowOff>366712</xdr:rowOff>
    </xdr:from>
    <xdr:to>
      <xdr:col>15</xdr:col>
      <xdr:colOff>571500</xdr:colOff>
      <xdr:row>14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1F5CA-DD8D-40A7-AD17-BFD518BEC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323849</xdr:colOff>
      <xdr:row>2</xdr:row>
      <xdr:rowOff>23812</xdr:rowOff>
    </xdr:from>
    <xdr:to>
      <xdr:col>15</xdr:col>
      <xdr:colOff>104774</xdr:colOff>
      <xdr:row>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19CEA9-BD35-4C08-BE78-8A49FB5B2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266700</xdr:colOff>
      <xdr:row>4</xdr:row>
      <xdr:rowOff>147637</xdr:rowOff>
    </xdr:from>
    <xdr:to>
      <xdr:col>15</xdr:col>
      <xdr:colOff>114300</xdr:colOff>
      <xdr:row>19</xdr:row>
      <xdr:rowOff>33337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4F53F2-6DCF-41A7-B6AA-3F07F80E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919CC-29B5-4400-963B-8C666979BE48}">
  <dimension ref="A1:J19"/>
  <sheetViews>
    <sheetView showGridLines="0" workbookViewId="0">
      <selection activeCell="D11" sqref="D11"/>
    </sheetView>
  </sheetViews>
  <sheetFormatPr defaultRowHeight="15" x14ac:dyDescent="0.25"/>
  <cols>
    <col min="1" max="1" width="22.140625" bestFit="1" customWidth="1"/>
    <col min="2" max="2" width="23.140625" customWidth="1"/>
    <col min="3" max="3" width="14.7109375" customWidth="1"/>
    <col min="4" max="4" width="14.140625" customWidth="1"/>
    <col min="5" max="5" width="15.140625" customWidth="1"/>
    <col min="6" max="6" width="0.140625" customWidth="1"/>
    <col min="7" max="7" width="9.140625" hidden="1" customWidth="1"/>
    <col min="9" max="9" width="16" bestFit="1" customWidth="1"/>
  </cols>
  <sheetData>
    <row r="1" spans="1:10" ht="33.75" x14ac:dyDescent="0.5">
      <c r="A1" s="39" t="s">
        <v>7</v>
      </c>
      <c r="B1" s="39"/>
      <c r="C1" s="39"/>
      <c r="D1" s="39"/>
      <c r="E1" s="39"/>
      <c r="F1" s="39"/>
      <c r="G1" s="39"/>
    </row>
    <row r="2" spans="1:10" ht="21" x14ac:dyDescent="0.35">
      <c r="A2" s="6" t="s">
        <v>0</v>
      </c>
      <c r="B2" s="5">
        <v>26000</v>
      </c>
      <c r="C2" s="40" t="s">
        <v>8</v>
      </c>
      <c r="D2" s="40"/>
      <c r="E2" s="41">
        <f>E19</f>
        <v>40250</v>
      </c>
      <c r="F2" s="41"/>
      <c r="G2" s="1"/>
    </row>
    <row r="3" spans="1:10" ht="21" x14ac:dyDescent="0.35">
      <c r="A3" s="7" t="s">
        <v>6</v>
      </c>
      <c r="B3" s="42">
        <v>45660</v>
      </c>
      <c r="C3" s="42"/>
      <c r="D3" s="42"/>
      <c r="E3" s="42"/>
      <c r="F3" s="42"/>
    </row>
    <row r="4" spans="1:10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I4" s="9" t="s">
        <v>0</v>
      </c>
      <c r="J4" s="2">
        <f>B2</f>
        <v>26000</v>
      </c>
    </row>
    <row r="5" spans="1:10" x14ac:dyDescent="0.25">
      <c r="A5" s="3">
        <v>45660</v>
      </c>
      <c r="B5" s="2" t="s">
        <v>9</v>
      </c>
      <c r="C5" s="2"/>
      <c r="D5" s="2">
        <v>9500</v>
      </c>
      <c r="E5" s="2">
        <f>B2+C5-D5</f>
        <v>16500</v>
      </c>
      <c r="I5" s="10" t="s">
        <v>17</v>
      </c>
      <c r="J5" s="2">
        <f>SUM(C5:C18)</f>
        <v>26500</v>
      </c>
    </row>
    <row r="6" spans="1:10" x14ac:dyDescent="0.25">
      <c r="A6" s="3">
        <v>45661</v>
      </c>
      <c r="B6" s="2" t="s">
        <v>10</v>
      </c>
      <c r="C6" s="2">
        <v>8500</v>
      </c>
      <c r="D6" s="2"/>
      <c r="E6" s="2">
        <f>E5+C6-D6</f>
        <v>25000</v>
      </c>
      <c r="I6" s="11" t="s">
        <v>18</v>
      </c>
      <c r="J6" s="2">
        <f>SUM(D5:D18)</f>
        <v>12250</v>
      </c>
    </row>
    <row r="7" spans="1:10" x14ac:dyDescent="0.25">
      <c r="A7" s="3">
        <v>45662</v>
      </c>
      <c r="B7" s="2" t="s">
        <v>11</v>
      </c>
      <c r="C7" s="2"/>
      <c r="D7" s="2">
        <v>1250</v>
      </c>
      <c r="E7" s="2">
        <f t="shared" ref="E7:E18" si="0">E6+C7-D7</f>
        <v>23750</v>
      </c>
      <c r="I7" s="12" t="s">
        <v>5</v>
      </c>
      <c r="J7" s="13">
        <f>J4+J5-J6</f>
        <v>40250</v>
      </c>
    </row>
    <row r="8" spans="1:10" x14ac:dyDescent="0.25">
      <c r="A8" s="3">
        <v>45663</v>
      </c>
      <c r="B8" s="2" t="s">
        <v>12</v>
      </c>
      <c r="C8" s="2"/>
      <c r="D8" s="2">
        <v>1500</v>
      </c>
      <c r="E8" s="2">
        <f t="shared" si="0"/>
        <v>22250</v>
      </c>
    </row>
    <row r="9" spans="1:10" x14ac:dyDescent="0.25">
      <c r="A9" s="3">
        <v>45664</v>
      </c>
      <c r="B9" s="2" t="s">
        <v>13</v>
      </c>
      <c r="C9" s="2">
        <v>18000</v>
      </c>
      <c r="D9" s="2"/>
      <c r="E9" s="2">
        <f t="shared" si="0"/>
        <v>40250</v>
      </c>
    </row>
    <row r="10" spans="1:10" x14ac:dyDescent="0.25">
      <c r="A10" s="3"/>
      <c r="B10" s="2"/>
      <c r="C10" s="2"/>
      <c r="D10" s="2"/>
      <c r="E10" s="2">
        <f t="shared" si="0"/>
        <v>40250</v>
      </c>
    </row>
    <row r="11" spans="1:10" x14ac:dyDescent="0.25">
      <c r="A11" s="3"/>
      <c r="B11" s="2"/>
      <c r="C11" s="2"/>
      <c r="D11" s="2"/>
      <c r="E11" s="2">
        <f t="shared" si="0"/>
        <v>40250</v>
      </c>
    </row>
    <row r="12" spans="1:10" x14ac:dyDescent="0.25">
      <c r="A12" s="2"/>
      <c r="B12" s="2"/>
      <c r="C12" s="2"/>
      <c r="D12" s="2"/>
      <c r="E12" s="2">
        <f t="shared" si="0"/>
        <v>40250</v>
      </c>
    </row>
    <row r="13" spans="1:10" x14ac:dyDescent="0.25">
      <c r="A13" s="2"/>
      <c r="B13" s="2"/>
      <c r="C13" s="2"/>
      <c r="D13" s="2"/>
      <c r="E13" s="2">
        <f t="shared" si="0"/>
        <v>40250</v>
      </c>
    </row>
    <row r="14" spans="1:10" x14ac:dyDescent="0.25">
      <c r="A14" s="2"/>
      <c r="B14" s="2"/>
      <c r="C14" s="2"/>
      <c r="D14" s="2"/>
      <c r="E14" s="2">
        <f t="shared" si="0"/>
        <v>40250</v>
      </c>
    </row>
    <row r="15" spans="1:10" x14ac:dyDescent="0.25">
      <c r="A15" s="2"/>
      <c r="B15" s="2"/>
      <c r="C15" s="2"/>
      <c r="D15" s="2"/>
      <c r="E15" s="2">
        <f t="shared" si="0"/>
        <v>40250</v>
      </c>
    </row>
    <row r="16" spans="1:10" x14ac:dyDescent="0.25">
      <c r="A16" s="2"/>
      <c r="B16" s="2"/>
      <c r="C16" s="2"/>
      <c r="D16" s="2"/>
      <c r="E16" s="2">
        <f t="shared" si="0"/>
        <v>40250</v>
      </c>
    </row>
    <row r="17" spans="1:10" x14ac:dyDescent="0.25">
      <c r="A17" s="2"/>
      <c r="B17" s="2"/>
      <c r="C17" s="2"/>
      <c r="D17" s="2"/>
      <c r="E17" s="2">
        <f t="shared" si="0"/>
        <v>40250</v>
      </c>
    </row>
    <row r="18" spans="1:10" x14ac:dyDescent="0.25">
      <c r="A18" s="2"/>
      <c r="B18" s="2"/>
      <c r="C18" s="2"/>
      <c r="D18" s="2"/>
      <c r="E18" s="2">
        <f t="shared" si="0"/>
        <v>40250</v>
      </c>
    </row>
    <row r="19" spans="1:10" x14ac:dyDescent="0.25">
      <c r="C19" s="43" t="s">
        <v>5</v>
      </c>
      <c r="D19" s="43"/>
      <c r="E19" s="4">
        <f>E18</f>
        <v>40250</v>
      </c>
      <c r="J19" s="2"/>
    </row>
  </sheetData>
  <mergeCells count="5">
    <mergeCell ref="A1:G1"/>
    <mergeCell ref="C2:D2"/>
    <mergeCell ref="E2:F2"/>
    <mergeCell ref="B3:F3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3D6E-5402-4103-A4CF-5E510D03886D}">
  <dimension ref="A1:H21"/>
  <sheetViews>
    <sheetView tabSelected="1" workbookViewId="0">
      <selection activeCell="H11" sqref="H11"/>
    </sheetView>
  </sheetViews>
  <sheetFormatPr defaultRowHeight="15" x14ac:dyDescent="0.25"/>
  <cols>
    <col min="1" max="1" width="23.5703125" customWidth="1"/>
    <col min="2" max="2" width="23.85546875" customWidth="1"/>
    <col min="3" max="3" width="12.42578125" customWidth="1"/>
    <col min="4" max="4" width="14.5703125" customWidth="1"/>
    <col min="5" max="5" width="17.28515625" customWidth="1"/>
    <col min="6" max="6" width="9" customWidth="1"/>
    <col min="7" max="7" width="16" bestFit="1" customWidth="1"/>
    <col min="8" max="8" width="10.5703125" bestFit="1" customWidth="1"/>
  </cols>
  <sheetData>
    <row r="1" spans="1:8" ht="33.75" x14ac:dyDescent="0.5">
      <c r="A1" s="44" t="s">
        <v>7</v>
      </c>
      <c r="B1" s="44"/>
      <c r="C1" s="44"/>
      <c r="D1" s="44"/>
      <c r="E1" s="44"/>
      <c r="F1" s="50"/>
    </row>
    <row r="2" spans="1:8" ht="21" x14ac:dyDescent="0.35">
      <c r="A2" s="51" t="s">
        <v>0</v>
      </c>
      <c r="B2" s="58">
        <v>26000</v>
      </c>
      <c r="C2" s="52" t="s">
        <v>8</v>
      </c>
      <c r="D2" s="52"/>
      <c r="E2" s="59">
        <f>E21</f>
        <v>50250</v>
      </c>
    </row>
    <row r="3" spans="1:8" ht="20.25" customHeight="1" x14ac:dyDescent="0.35">
      <c r="A3" s="15" t="s">
        <v>6</v>
      </c>
      <c r="B3" s="54">
        <v>45660</v>
      </c>
      <c r="C3" s="54"/>
      <c r="D3" s="54"/>
      <c r="E3" s="54"/>
      <c r="F3" s="53"/>
      <c r="G3" s="16" t="s">
        <v>0</v>
      </c>
      <c r="H3" s="34">
        <f>B2</f>
        <v>26000</v>
      </c>
    </row>
    <row r="4" spans="1:8" x14ac:dyDescent="0.25">
      <c r="A4" s="55" t="s">
        <v>1</v>
      </c>
      <c r="B4" s="55" t="s">
        <v>2</v>
      </c>
      <c r="C4" s="55" t="s">
        <v>3</v>
      </c>
      <c r="D4" s="55" t="s">
        <v>4</v>
      </c>
      <c r="E4" s="55" t="s">
        <v>5</v>
      </c>
      <c r="G4" s="55" t="s">
        <v>17</v>
      </c>
      <c r="H4" s="34">
        <f>SUM(C5:C20)</f>
        <v>36500</v>
      </c>
    </row>
    <row r="5" spans="1:8" x14ac:dyDescent="0.25">
      <c r="A5" s="3">
        <v>45660</v>
      </c>
      <c r="B5" s="2" t="s">
        <v>9</v>
      </c>
      <c r="C5" s="34"/>
      <c r="D5" s="34">
        <v>9500</v>
      </c>
      <c r="E5" s="33">
        <f>B2+C5-D5</f>
        <v>16500</v>
      </c>
      <c r="G5" s="56" t="s">
        <v>18</v>
      </c>
      <c r="H5" s="34">
        <f>SUM(D5:D20)</f>
        <v>12250</v>
      </c>
    </row>
    <row r="6" spans="1:8" x14ac:dyDescent="0.25">
      <c r="A6" s="3">
        <v>45661</v>
      </c>
      <c r="B6" s="2" t="s">
        <v>10</v>
      </c>
      <c r="C6" s="34">
        <v>8500</v>
      </c>
      <c r="D6" s="34"/>
      <c r="E6" s="33">
        <f>E5+C6-D6</f>
        <v>25000</v>
      </c>
      <c r="G6" s="57" t="s">
        <v>5</v>
      </c>
      <c r="H6" s="63">
        <f>E21</f>
        <v>50250</v>
      </c>
    </row>
    <row r="7" spans="1:8" x14ac:dyDescent="0.25">
      <c r="A7" s="3">
        <v>45662</v>
      </c>
      <c r="B7" s="2" t="s">
        <v>11</v>
      </c>
      <c r="C7" s="34"/>
      <c r="D7" s="34">
        <v>1250</v>
      </c>
      <c r="E7" s="33">
        <f t="shared" ref="E7:E20" si="0">E6+C7-D7</f>
        <v>23750</v>
      </c>
    </row>
    <row r="8" spans="1:8" x14ac:dyDescent="0.25">
      <c r="A8" s="3">
        <v>45663</v>
      </c>
      <c r="B8" s="2" t="s">
        <v>12</v>
      </c>
      <c r="C8" s="34"/>
      <c r="D8" s="34">
        <v>1500</v>
      </c>
      <c r="E8" s="33">
        <f t="shared" si="0"/>
        <v>22250</v>
      </c>
    </row>
    <row r="9" spans="1:8" x14ac:dyDescent="0.25">
      <c r="A9" s="3">
        <v>45664</v>
      </c>
      <c r="B9" s="2" t="s">
        <v>13</v>
      </c>
      <c r="C9" s="34">
        <v>18000</v>
      </c>
      <c r="D9" s="34"/>
      <c r="E9" s="33">
        <f t="shared" si="0"/>
        <v>40250</v>
      </c>
    </row>
    <row r="10" spans="1:8" x14ac:dyDescent="0.25">
      <c r="A10" s="3">
        <v>45665</v>
      </c>
      <c r="B10" s="2" t="s">
        <v>20</v>
      </c>
      <c r="C10" s="34">
        <v>10000</v>
      </c>
      <c r="D10" s="34"/>
      <c r="E10" s="33">
        <f t="shared" si="0"/>
        <v>50250</v>
      </c>
    </row>
    <row r="11" spans="1:8" x14ac:dyDescent="0.25">
      <c r="A11" s="2"/>
      <c r="B11" s="2"/>
      <c r="C11" s="34"/>
      <c r="D11" s="34"/>
      <c r="E11" s="33">
        <f t="shared" si="0"/>
        <v>50250</v>
      </c>
    </row>
    <row r="12" spans="1:8" x14ac:dyDescent="0.25">
      <c r="A12" s="2"/>
      <c r="B12" s="2"/>
      <c r="C12" s="33"/>
      <c r="D12" s="33"/>
      <c r="E12" s="33">
        <f t="shared" si="0"/>
        <v>50250</v>
      </c>
    </row>
    <row r="13" spans="1:8" x14ac:dyDescent="0.25">
      <c r="A13" s="2"/>
      <c r="B13" s="2"/>
      <c r="C13" s="33"/>
      <c r="D13" s="33"/>
      <c r="E13" s="33">
        <f t="shared" si="0"/>
        <v>50250</v>
      </c>
    </row>
    <row r="14" spans="1:8" x14ac:dyDescent="0.25">
      <c r="A14" s="2"/>
      <c r="B14" s="2"/>
      <c r="C14" s="33"/>
      <c r="D14" s="33"/>
      <c r="E14" s="33">
        <f t="shared" si="0"/>
        <v>50250</v>
      </c>
    </row>
    <row r="15" spans="1:8" x14ac:dyDescent="0.25">
      <c r="A15" s="2"/>
      <c r="B15" s="2"/>
      <c r="C15" s="33"/>
      <c r="D15" s="33"/>
      <c r="E15" s="33">
        <f t="shared" si="0"/>
        <v>50250</v>
      </c>
    </row>
    <row r="16" spans="1:8" x14ac:dyDescent="0.25">
      <c r="A16" s="2"/>
      <c r="B16" s="2"/>
      <c r="C16" s="33"/>
      <c r="D16" s="33"/>
      <c r="E16" s="33">
        <f t="shared" si="0"/>
        <v>50250</v>
      </c>
    </row>
    <row r="17" spans="1:5" x14ac:dyDescent="0.25">
      <c r="A17" s="2"/>
      <c r="B17" s="2"/>
      <c r="C17" s="33"/>
      <c r="D17" s="33"/>
      <c r="E17" s="33">
        <f t="shared" si="0"/>
        <v>50250</v>
      </c>
    </row>
    <row r="18" spans="1:5" x14ac:dyDescent="0.25">
      <c r="A18" s="2"/>
      <c r="B18" s="2"/>
      <c r="C18" s="33"/>
      <c r="D18" s="33"/>
      <c r="E18" s="33">
        <f t="shared" si="0"/>
        <v>50250</v>
      </c>
    </row>
    <row r="19" spans="1:5" x14ac:dyDescent="0.25">
      <c r="A19" s="2"/>
      <c r="B19" s="2"/>
      <c r="C19" s="33"/>
      <c r="D19" s="33"/>
      <c r="E19" s="33">
        <f t="shared" si="0"/>
        <v>50250</v>
      </c>
    </row>
    <row r="20" spans="1:5" x14ac:dyDescent="0.25">
      <c r="A20" s="2"/>
      <c r="B20" s="2"/>
      <c r="C20" s="33"/>
      <c r="D20" s="33"/>
      <c r="E20" s="33">
        <f t="shared" si="0"/>
        <v>50250</v>
      </c>
    </row>
    <row r="21" spans="1:5" x14ac:dyDescent="0.25">
      <c r="C21" s="60" t="s">
        <v>5</v>
      </c>
      <c r="D21" s="61"/>
      <c r="E21" s="62">
        <f>E20</f>
        <v>50250</v>
      </c>
    </row>
  </sheetData>
  <mergeCells count="4">
    <mergeCell ref="A1:E1"/>
    <mergeCell ref="C2:D2"/>
    <mergeCell ref="B3:E3"/>
    <mergeCell ref="C21:D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8877-83E8-468C-9571-BF327CA9B5B6}">
  <dimension ref="A1:G19"/>
  <sheetViews>
    <sheetView workbookViewId="0">
      <selection activeCell="L17" sqref="L17"/>
    </sheetView>
  </sheetViews>
  <sheetFormatPr defaultRowHeight="15" x14ac:dyDescent="0.25"/>
  <cols>
    <col min="1" max="1" width="22.5703125" bestFit="1" customWidth="1"/>
    <col min="2" max="2" width="13.85546875" bestFit="1" customWidth="1"/>
    <col min="3" max="3" width="12.5703125" customWidth="1"/>
    <col min="4" max="4" width="12.7109375" customWidth="1"/>
    <col min="5" max="5" width="27" customWidth="1"/>
    <col min="6" max="6" width="0.28515625" customWidth="1"/>
    <col min="7" max="7" width="9.140625" hidden="1" customWidth="1"/>
  </cols>
  <sheetData>
    <row r="1" spans="1:7" ht="33.75" x14ac:dyDescent="0.5">
      <c r="A1" s="39" t="s">
        <v>7</v>
      </c>
      <c r="B1" s="39"/>
      <c r="C1" s="39"/>
      <c r="D1" s="39"/>
      <c r="E1" s="39"/>
      <c r="F1" s="39"/>
      <c r="G1" s="39"/>
    </row>
    <row r="2" spans="1:7" ht="21" x14ac:dyDescent="0.35">
      <c r="A2" s="6" t="s">
        <v>0</v>
      </c>
      <c r="B2" s="5">
        <v>26000</v>
      </c>
      <c r="C2" s="40" t="s">
        <v>8</v>
      </c>
      <c r="D2" s="40"/>
      <c r="E2" s="41">
        <f>E19</f>
        <v>29000</v>
      </c>
      <c r="F2" s="41"/>
      <c r="G2" s="1"/>
    </row>
    <row r="3" spans="1:7" ht="21" x14ac:dyDescent="0.35">
      <c r="A3" s="7" t="s">
        <v>6</v>
      </c>
      <c r="B3" s="42">
        <v>45660</v>
      </c>
      <c r="C3" s="42"/>
      <c r="D3" s="42"/>
      <c r="E3" s="42"/>
      <c r="F3" s="42"/>
    </row>
    <row r="4" spans="1:7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</row>
    <row r="5" spans="1:7" x14ac:dyDescent="0.25">
      <c r="A5" s="3">
        <v>45963</v>
      </c>
      <c r="B5" s="2" t="s">
        <v>14</v>
      </c>
      <c r="C5" s="2"/>
      <c r="D5" s="2">
        <v>2000</v>
      </c>
      <c r="E5" s="2">
        <f>B2+C5-D5</f>
        <v>24000</v>
      </c>
    </row>
    <row r="6" spans="1:7" x14ac:dyDescent="0.25">
      <c r="A6" s="3">
        <v>45964</v>
      </c>
      <c r="B6" s="2" t="s">
        <v>15</v>
      </c>
      <c r="C6" s="2">
        <v>10000</v>
      </c>
      <c r="D6" s="2"/>
      <c r="E6" s="2">
        <f>E5+C6-D6</f>
        <v>34000</v>
      </c>
    </row>
    <row r="7" spans="1:7" x14ac:dyDescent="0.25">
      <c r="A7" s="3">
        <v>45965</v>
      </c>
      <c r="B7" s="2" t="s">
        <v>16</v>
      </c>
      <c r="C7" s="2"/>
      <c r="D7" s="2">
        <v>5000</v>
      </c>
      <c r="E7" s="2">
        <f t="shared" ref="E7:E18" si="0">E6+C7-D7</f>
        <v>29000</v>
      </c>
    </row>
    <row r="8" spans="1:7" x14ac:dyDescent="0.25">
      <c r="A8" s="3"/>
      <c r="B8" s="2"/>
      <c r="C8" s="2"/>
      <c r="D8" s="2"/>
      <c r="E8" s="2">
        <f t="shared" si="0"/>
        <v>29000</v>
      </c>
    </row>
    <row r="9" spans="1:7" x14ac:dyDescent="0.25">
      <c r="A9" s="3"/>
      <c r="B9" s="2"/>
      <c r="C9" s="2"/>
      <c r="D9" s="2"/>
      <c r="E9" s="2">
        <f t="shared" si="0"/>
        <v>29000</v>
      </c>
    </row>
    <row r="10" spans="1:7" x14ac:dyDescent="0.25">
      <c r="A10" s="3"/>
      <c r="B10" s="2"/>
      <c r="C10" s="2"/>
      <c r="D10" s="2"/>
      <c r="E10" s="2">
        <f t="shared" si="0"/>
        <v>29000</v>
      </c>
    </row>
    <row r="11" spans="1:7" x14ac:dyDescent="0.25">
      <c r="A11" s="3"/>
      <c r="B11" s="2"/>
      <c r="C11" s="2"/>
      <c r="D11" s="2"/>
      <c r="E11" s="2">
        <f t="shared" si="0"/>
        <v>29000</v>
      </c>
    </row>
    <row r="12" spans="1:7" x14ac:dyDescent="0.25">
      <c r="A12" s="2"/>
      <c r="B12" s="2"/>
      <c r="C12" s="2"/>
      <c r="D12" s="2"/>
      <c r="E12" s="2">
        <f t="shared" si="0"/>
        <v>29000</v>
      </c>
    </row>
    <row r="13" spans="1:7" x14ac:dyDescent="0.25">
      <c r="A13" s="2"/>
      <c r="B13" s="2"/>
      <c r="C13" s="2"/>
      <c r="D13" s="2"/>
      <c r="E13" s="2">
        <f t="shared" si="0"/>
        <v>29000</v>
      </c>
    </row>
    <row r="14" spans="1:7" x14ac:dyDescent="0.25">
      <c r="A14" s="2"/>
      <c r="B14" s="2"/>
      <c r="C14" s="2"/>
      <c r="D14" s="2"/>
      <c r="E14" s="2">
        <f t="shared" si="0"/>
        <v>29000</v>
      </c>
    </row>
    <row r="15" spans="1:7" x14ac:dyDescent="0.25">
      <c r="A15" s="2"/>
      <c r="B15" s="2"/>
      <c r="C15" s="2"/>
      <c r="D15" s="2"/>
      <c r="E15" s="2">
        <f t="shared" si="0"/>
        <v>29000</v>
      </c>
    </row>
    <row r="16" spans="1:7" x14ac:dyDescent="0.25">
      <c r="A16" s="2"/>
      <c r="B16" s="2"/>
      <c r="C16" s="2"/>
      <c r="D16" s="2"/>
      <c r="E16" s="2">
        <f t="shared" si="0"/>
        <v>29000</v>
      </c>
    </row>
    <row r="17" spans="1:5" x14ac:dyDescent="0.25">
      <c r="A17" s="2"/>
      <c r="B17" s="2"/>
      <c r="C17" s="2"/>
      <c r="D17" s="2"/>
      <c r="E17" s="2">
        <f t="shared" si="0"/>
        <v>29000</v>
      </c>
    </row>
    <row r="18" spans="1:5" x14ac:dyDescent="0.25">
      <c r="A18" s="2"/>
      <c r="B18" s="2"/>
      <c r="C18" s="2"/>
      <c r="D18" s="2"/>
      <c r="E18" s="2">
        <f t="shared" si="0"/>
        <v>29000</v>
      </c>
    </row>
    <row r="19" spans="1:5" x14ac:dyDescent="0.25">
      <c r="C19" s="43" t="s">
        <v>5</v>
      </c>
      <c r="D19" s="43"/>
      <c r="E19" s="4">
        <f>E18</f>
        <v>29000</v>
      </c>
    </row>
  </sheetData>
  <mergeCells count="5">
    <mergeCell ref="A1:G1"/>
    <mergeCell ref="C2:D2"/>
    <mergeCell ref="E2:F2"/>
    <mergeCell ref="B3:F3"/>
    <mergeCell ref="C19:D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4F6F-87EC-47EC-841F-04EE448218BC}">
  <dimension ref="A1:J22"/>
  <sheetViews>
    <sheetView workbookViewId="0">
      <selection activeCell="E5" activeCellId="1" sqref="B5:B10 E5:E10"/>
    </sheetView>
  </sheetViews>
  <sheetFormatPr defaultRowHeight="15" x14ac:dyDescent="0.25"/>
  <cols>
    <col min="1" max="1" width="22.140625" bestFit="1" customWidth="1"/>
    <col min="2" max="2" width="24.7109375" customWidth="1"/>
    <col min="3" max="3" width="10.28515625" customWidth="1"/>
    <col min="4" max="4" width="14.5703125" customWidth="1"/>
    <col min="5" max="5" width="14" customWidth="1"/>
    <col min="6" max="7" width="9.140625" hidden="1" customWidth="1"/>
    <col min="9" max="9" width="16" bestFit="1" customWidth="1"/>
  </cols>
  <sheetData>
    <row r="1" spans="1:10" ht="33.75" x14ac:dyDescent="0.5">
      <c r="A1" s="44" t="s">
        <v>7</v>
      </c>
      <c r="B1" s="44"/>
      <c r="C1" s="44"/>
      <c r="D1" s="44"/>
      <c r="E1" s="44"/>
      <c r="F1" s="44"/>
      <c r="G1" s="44"/>
    </row>
    <row r="2" spans="1:10" ht="21" x14ac:dyDescent="0.35">
      <c r="A2" s="18" t="s">
        <v>0</v>
      </c>
      <c r="B2" s="19">
        <v>26000</v>
      </c>
      <c r="C2" s="45" t="s">
        <v>8</v>
      </c>
      <c r="D2" s="45"/>
      <c r="E2" s="14">
        <f>E22</f>
        <v>34450</v>
      </c>
    </row>
    <row r="3" spans="1:10" ht="21" x14ac:dyDescent="0.35">
      <c r="A3" s="15" t="s">
        <v>6</v>
      </c>
      <c r="B3" s="46">
        <v>44564</v>
      </c>
      <c r="C3" s="46"/>
      <c r="D3" s="46"/>
      <c r="E3" s="46"/>
      <c r="F3" s="46"/>
    </row>
    <row r="4" spans="1:10" x14ac:dyDescent="0.25">
      <c r="A4" s="17" t="s">
        <v>1</v>
      </c>
      <c r="B4" s="17" t="s">
        <v>2</v>
      </c>
      <c r="C4" s="17" t="s">
        <v>3</v>
      </c>
      <c r="D4" s="17" t="s">
        <v>4</v>
      </c>
      <c r="E4" s="17" t="s">
        <v>5</v>
      </c>
      <c r="I4" s="17" t="s">
        <v>0</v>
      </c>
      <c r="J4" s="2">
        <f>B2</f>
        <v>26000</v>
      </c>
    </row>
    <row r="5" spans="1:10" x14ac:dyDescent="0.25">
      <c r="A5" s="3">
        <v>44564</v>
      </c>
      <c r="B5" s="2" t="s">
        <v>9</v>
      </c>
      <c r="C5" s="2"/>
      <c r="D5" s="2">
        <v>9500</v>
      </c>
      <c r="E5" s="2">
        <f>B2+C5-D5</f>
        <v>16500</v>
      </c>
      <c r="I5" s="20" t="s">
        <v>17</v>
      </c>
      <c r="J5" s="2">
        <f>SUM(C5:C21)</f>
        <v>26500</v>
      </c>
    </row>
    <row r="6" spans="1:10" x14ac:dyDescent="0.25">
      <c r="A6" s="3">
        <v>44565</v>
      </c>
      <c r="B6" s="2" t="s">
        <v>10</v>
      </c>
      <c r="C6" s="2">
        <v>8500</v>
      </c>
      <c r="D6" s="2"/>
      <c r="E6" s="2">
        <f>E5+C6-D6</f>
        <v>25000</v>
      </c>
      <c r="I6" s="11" t="s">
        <v>18</v>
      </c>
      <c r="J6" s="2">
        <f>SUM(D5:D21)</f>
        <v>18050</v>
      </c>
    </row>
    <row r="7" spans="1:10" x14ac:dyDescent="0.25">
      <c r="A7" s="3">
        <v>44566</v>
      </c>
      <c r="B7" s="2" t="s">
        <v>11</v>
      </c>
      <c r="C7" s="2"/>
      <c r="D7" s="2">
        <v>1250</v>
      </c>
      <c r="E7" s="2">
        <f t="shared" ref="E7:E21" si="0">E6+C7-D7</f>
        <v>23750</v>
      </c>
      <c r="I7" s="21" t="s">
        <v>5</v>
      </c>
      <c r="J7" s="21">
        <f>E22</f>
        <v>34450</v>
      </c>
    </row>
    <row r="8" spans="1:10" x14ac:dyDescent="0.25">
      <c r="A8" s="3">
        <v>44567</v>
      </c>
      <c r="B8" s="2" t="s">
        <v>12</v>
      </c>
      <c r="C8" s="2"/>
      <c r="D8" s="2">
        <v>1500</v>
      </c>
      <c r="E8" s="2">
        <f t="shared" si="0"/>
        <v>22250</v>
      </c>
    </row>
    <row r="9" spans="1:10" x14ac:dyDescent="0.25">
      <c r="A9" s="3">
        <v>44568</v>
      </c>
      <c r="B9" s="2" t="s">
        <v>13</v>
      </c>
      <c r="C9" s="2">
        <v>18000</v>
      </c>
      <c r="D9" s="2"/>
      <c r="E9" s="2">
        <f t="shared" si="0"/>
        <v>40250</v>
      </c>
    </row>
    <row r="10" spans="1:10" x14ac:dyDescent="0.25">
      <c r="A10" s="3">
        <v>44569</v>
      </c>
      <c r="B10" s="2" t="s">
        <v>16</v>
      </c>
      <c r="C10" s="2"/>
      <c r="D10" s="2">
        <v>5000</v>
      </c>
      <c r="E10" s="2">
        <f t="shared" si="0"/>
        <v>35250</v>
      </c>
    </row>
    <row r="11" spans="1:10" x14ac:dyDescent="0.25">
      <c r="A11" s="2"/>
      <c r="B11" s="2"/>
      <c r="C11" s="2"/>
      <c r="D11" s="2">
        <v>400</v>
      </c>
      <c r="E11" s="2">
        <f t="shared" si="0"/>
        <v>34850</v>
      </c>
    </row>
    <row r="12" spans="1:10" x14ac:dyDescent="0.25">
      <c r="A12" s="2"/>
      <c r="B12" s="2"/>
      <c r="C12" s="2"/>
      <c r="D12" s="2">
        <v>400</v>
      </c>
      <c r="E12" s="2">
        <f t="shared" si="0"/>
        <v>34450</v>
      </c>
    </row>
    <row r="13" spans="1:10" x14ac:dyDescent="0.25">
      <c r="A13" s="2"/>
      <c r="B13" s="2"/>
      <c r="C13" s="2"/>
      <c r="D13" s="2"/>
      <c r="E13" s="2">
        <f t="shared" si="0"/>
        <v>34450</v>
      </c>
    </row>
    <row r="14" spans="1:10" x14ac:dyDescent="0.25">
      <c r="A14" s="2"/>
      <c r="B14" s="2"/>
      <c r="C14" s="2"/>
      <c r="D14" s="2"/>
      <c r="E14" s="2">
        <f t="shared" si="0"/>
        <v>34450</v>
      </c>
    </row>
    <row r="15" spans="1:10" x14ac:dyDescent="0.25">
      <c r="A15" s="2"/>
      <c r="B15" s="2"/>
      <c r="C15" s="2"/>
      <c r="D15" s="2"/>
      <c r="E15" s="2">
        <f t="shared" si="0"/>
        <v>34450</v>
      </c>
    </row>
    <row r="16" spans="1:10" x14ac:dyDescent="0.25">
      <c r="A16" s="2"/>
      <c r="B16" s="2"/>
      <c r="C16" s="2"/>
      <c r="D16" s="2"/>
      <c r="E16" s="2">
        <f t="shared" si="0"/>
        <v>34450</v>
      </c>
    </row>
    <row r="17" spans="1:5" x14ac:dyDescent="0.25">
      <c r="A17" s="2"/>
      <c r="B17" s="2"/>
      <c r="C17" s="2"/>
      <c r="D17" s="2"/>
      <c r="E17" s="2">
        <f t="shared" si="0"/>
        <v>34450</v>
      </c>
    </row>
    <row r="18" spans="1:5" x14ac:dyDescent="0.25">
      <c r="A18" s="2"/>
      <c r="B18" s="2"/>
      <c r="C18" s="2"/>
      <c r="D18" s="2"/>
      <c r="E18" s="2">
        <f t="shared" si="0"/>
        <v>34450</v>
      </c>
    </row>
    <row r="19" spans="1:5" x14ac:dyDescent="0.25">
      <c r="A19" s="2"/>
      <c r="B19" s="2"/>
      <c r="C19" s="2"/>
      <c r="D19" s="2"/>
      <c r="E19" s="2">
        <f t="shared" si="0"/>
        <v>34450</v>
      </c>
    </row>
    <row r="20" spans="1:5" x14ac:dyDescent="0.25">
      <c r="A20" s="2"/>
      <c r="B20" s="2"/>
      <c r="C20" s="2"/>
      <c r="D20" s="2"/>
      <c r="E20" s="2">
        <f t="shared" si="0"/>
        <v>34450</v>
      </c>
    </row>
    <row r="21" spans="1:5" x14ac:dyDescent="0.25">
      <c r="A21" s="2"/>
      <c r="B21" s="2"/>
      <c r="C21" s="2"/>
      <c r="D21" s="2"/>
      <c r="E21" s="2">
        <f t="shared" si="0"/>
        <v>34450</v>
      </c>
    </row>
    <row r="22" spans="1:5" x14ac:dyDescent="0.25">
      <c r="C22" s="47" t="s">
        <v>5</v>
      </c>
      <c r="D22" s="48"/>
      <c r="E22" s="16">
        <f>E21</f>
        <v>34450</v>
      </c>
    </row>
  </sheetData>
  <mergeCells count="4">
    <mergeCell ref="A1:G1"/>
    <mergeCell ref="C2:D2"/>
    <mergeCell ref="B3:F3"/>
    <mergeCell ref="C22:D2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5B9D-46EB-4BD2-9805-E0CD20EF9814}">
  <dimension ref="A1:I21"/>
  <sheetViews>
    <sheetView workbookViewId="0">
      <selection activeCell="C12" sqref="C12"/>
    </sheetView>
  </sheetViews>
  <sheetFormatPr defaultRowHeight="15" x14ac:dyDescent="0.25"/>
  <cols>
    <col min="1" max="1" width="22.140625" customWidth="1"/>
    <col min="2" max="2" width="24" customWidth="1"/>
    <col min="3" max="3" width="14.28515625" customWidth="1"/>
    <col min="4" max="4" width="15" customWidth="1"/>
    <col min="5" max="5" width="16.140625" customWidth="1"/>
    <col min="6" max="6" width="9.42578125" hidden="1" customWidth="1"/>
    <col min="8" max="8" width="16" bestFit="1" customWidth="1"/>
    <col min="9" max="9" width="12.5703125" bestFit="1" customWidth="1"/>
  </cols>
  <sheetData>
    <row r="1" spans="1:9" ht="33.75" x14ac:dyDescent="0.5">
      <c r="A1" s="44" t="s">
        <v>7</v>
      </c>
      <c r="B1" s="44"/>
      <c r="C1" s="44"/>
      <c r="D1" s="44"/>
      <c r="E1" s="44"/>
      <c r="F1" s="44"/>
    </row>
    <row r="2" spans="1:9" ht="21" x14ac:dyDescent="0.35">
      <c r="A2" s="23" t="s">
        <v>0</v>
      </c>
      <c r="B2" s="26">
        <v>90000</v>
      </c>
      <c r="C2" s="27" t="s">
        <v>8</v>
      </c>
      <c r="D2" s="27"/>
      <c r="E2" s="28">
        <f>E21</f>
        <v>101810</v>
      </c>
      <c r="F2" s="29"/>
    </row>
    <row r="3" spans="1:9" ht="21" x14ac:dyDescent="0.35">
      <c r="A3" s="22" t="s">
        <v>6</v>
      </c>
      <c r="B3" s="49">
        <v>45660</v>
      </c>
      <c r="C3" s="49"/>
      <c r="D3" s="49"/>
      <c r="E3" s="49"/>
      <c r="F3" s="30"/>
    </row>
    <row r="4" spans="1:9" x14ac:dyDescent="0.25">
      <c r="A4" s="24" t="s">
        <v>1</v>
      </c>
      <c r="B4" s="31" t="s">
        <v>2</v>
      </c>
      <c r="C4" s="31" t="s">
        <v>3</v>
      </c>
      <c r="D4" s="31" t="s">
        <v>4</v>
      </c>
      <c r="E4" s="31" t="s">
        <v>5</v>
      </c>
      <c r="F4" s="32"/>
      <c r="H4" s="25" t="s">
        <v>0</v>
      </c>
      <c r="I4" s="37">
        <f>B2</f>
        <v>90000</v>
      </c>
    </row>
    <row r="5" spans="1:9" x14ac:dyDescent="0.25">
      <c r="A5" s="3">
        <v>45660</v>
      </c>
      <c r="B5" s="33" t="s">
        <v>19</v>
      </c>
      <c r="C5" s="34"/>
      <c r="D5" s="34">
        <v>9500</v>
      </c>
      <c r="E5" s="34">
        <f>B2+C5-D5</f>
        <v>80500</v>
      </c>
      <c r="F5" s="32"/>
      <c r="H5" s="17" t="s">
        <v>17</v>
      </c>
      <c r="I5" s="37">
        <f>SUM(C5:C20)</f>
        <v>27060</v>
      </c>
    </row>
    <row r="6" spans="1:9" x14ac:dyDescent="0.25">
      <c r="A6" s="3">
        <v>45661</v>
      </c>
      <c r="B6" s="33" t="s">
        <v>10</v>
      </c>
      <c r="C6" s="34">
        <v>8500</v>
      </c>
      <c r="D6" s="34"/>
      <c r="E6" s="34">
        <f>E5+C6-D6</f>
        <v>89000</v>
      </c>
      <c r="F6" s="32"/>
      <c r="H6" s="9" t="s">
        <v>18</v>
      </c>
      <c r="I6" s="37">
        <f>SUM(D5:D20)</f>
        <v>15250</v>
      </c>
    </row>
    <row r="7" spans="1:9" x14ac:dyDescent="0.25">
      <c r="A7" s="3">
        <v>45662</v>
      </c>
      <c r="B7" s="33" t="s">
        <v>11</v>
      </c>
      <c r="C7" s="34"/>
      <c r="D7" s="34">
        <v>1250</v>
      </c>
      <c r="E7" s="34">
        <f t="shared" ref="E7:E19" si="0">E6+C7-D7</f>
        <v>87750</v>
      </c>
      <c r="F7" s="32"/>
      <c r="H7" s="21" t="s">
        <v>5</v>
      </c>
      <c r="I7" s="38">
        <f>I4+I5-I6</f>
        <v>101810</v>
      </c>
    </row>
    <row r="8" spans="1:9" x14ac:dyDescent="0.25">
      <c r="A8" s="3">
        <v>45663</v>
      </c>
      <c r="B8" s="33" t="s">
        <v>12</v>
      </c>
      <c r="C8" s="34"/>
      <c r="D8" s="34">
        <v>1500</v>
      </c>
      <c r="E8" s="34">
        <f t="shared" si="0"/>
        <v>86250</v>
      </c>
      <c r="F8" s="32"/>
    </row>
    <row r="9" spans="1:9" x14ac:dyDescent="0.25">
      <c r="A9" s="3">
        <v>45664</v>
      </c>
      <c r="B9" s="33" t="s">
        <v>13</v>
      </c>
      <c r="C9" s="34">
        <v>18000</v>
      </c>
      <c r="D9" s="34"/>
      <c r="E9" s="34">
        <f t="shared" si="0"/>
        <v>104250</v>
      </c>
      <c r="F9" s="32"/>
    </row>
    <row r="10" spans="1:9" x14ac:dyDescent="0.25">
      <c r="A10" s="3">
        <v>45665</v>
      </c>
      <c r="B10" s="33" t="s">
        <v>16</v>
      </c>
      <c r="C10" s="34"/>
      <c r="D10" s="34">
        <v>3000</v>
      </c>
      <c r="E10" s="34">
        <f t="shared" si="0"/>
        <v>101250</v>
      </c>
      <c r="F10" s="32"/>
    </row>
    <row r="11" spans="1:9" x14ac:dyDescent="0.25">
      <c r="A11" s="2"/>
      <c r="B11" s="33"/>
      <c r="C11" s="34">
        <v>560</v>
      </c>
      <c r="D11" s="34"/>
      <c r="E11" s="34">
        <f t="shared" si="0"/>
        <v>101810</v>
      </c>
      <c r="F11" s="32"/>
    </row>
    <row r="12" spans="1:9" x14ac:dyDescent="0.25">
      <c r="A12" s="2"/>
      <c r="B12" s="33"/>
      <c r="C12" s="34"/>
      <c r="D12" s="34"/>
      <c r="E12" s="34">
        <f t="shared" si="0"/>
        <v>101810</v>
      </c>
      <c r="F12" s="32"/>
    </row>
    <row r="13" spans="1:9" x14ac:dyDescent="0.25">
      <c r="A13" s="2"/>
      <c r="B13" s="33"/>
      <c r="C13" s="34"/>
      <c r="D13" s="34"/>
      <c r="E13" s="34">
        <f t="shared" si="0"/>
        <v>101810</v>
      </c>
      <c r="F13" s="32"/>
    </row>
    <row r="14" spans="1:9" x14ac:dyDescent="0.25">
      <c r="A14" s="2"/>
      <c r="B14" s="33"/>
      <c r="C14" s="34"/>
      <c r="D14" s="34"/>
      <c r="E14" s="34">
        <f t="shared" si="0"/>
        <v>101810</v>
      </c>
      <c r="F14" s="32"/>
    </row>
    <row r="15" spans="1:9" x14ac:dyDescent="0.25">
      <c r="A15" s="2"/>
      <c r="B15" s="33"/>
      <c r="C15" s="34"/>
      <c r="D15" s="34"/>
      <c r="E15" s="34">
        <f t="shared" si="0"/>
        <v>101810</v>
      </c>
      <c r="F15" s="32"/>
    </row>
    <row r="16" spans="1:9" x14ac:dyDescent="0.25">
      <c r="A16" s="2"/>
      <c r="B16" s="33"/>
      <c r="C16" s="34"/>
      <c r="D16" s="34"/>
      <c r="E16" s="34">
        <f t="shared" si="0"/>
        <v>101810</v>
      </c>
      <c r="F16" s="32"/>
    </row>
    <row r="17" spans="1:6" x14ac:dyDescent="0.25">
      <c r="A17" s="2"/>
      <c r="B17" s="33"/>
      <c r="C17" s="34"/>
      <c r="D17" s="34"/>
      <c r="E17" s="34">
        <f t="shared" si="0"/>
        <v>101810</v>
      </c>
      <c r="F17" s="32"/>
    </row>
    <row r="18" spans="1:6" x14ac:dyDescent="0.25">
      <c r="A18" s="2"/>
      <c r="B18" s="33"/>
      <c r="C18" s="34"/>
      <c r="D18" s="34"/>
      <c r="E18" s="34">
        <f t="shared" si="0"/>
        <v>101810</v>
      </c>
      <c r="F18" s="32"/>
    </row>
    <row r="19" spans="1:6" x14ac:dyDescent="0.25">
      <c r="A19" s="2"/>
      <c r="B19" s="33"/>
      <c r="C19" s="34"/>
      <c r="D19" s="34"/>
      <c r="E19" s="34">
        <f t="shared" si="0"/>
        <v>101810</v>
      </c>
      <c r="F19" s="32"/>
    </row>
    <row r="20" spans="1:6" x14ac:dyDescent="0.25">
      <c r="A20" s="2"/>
      <c r="B20" s="33"/>
      <c r="C20" s="34"/>
      <c r="D20" s="34"/>
      <c r="E20" s="34">
        <f>E18+C20-D20</f>
        <v>101810</v>
      </c>
      <c r="F20" s="32"/>
    </row>
    <row r="21" spans="1:6" x14ac:dyDescent="0.25">
      <c r="B21" s="32"/>
      <c r="C21" s="35" t="s">
        <v>5</v>
      </c>
      <c r="D21" s="35"/>
      <c r="E21" s="36">
        <f>E20</f>
        <v>101810</v>
      </c>
      <c r="F21" s="32"/>
    </row>
  </sheetData>
  <mergeCells count="2">
    <mergeCell ref="A1:F1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Daily Record Sheet					Daily Re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2025-11-24T14:25:27Z</dcterms:created>
  <dcterms:modified xsi:type="dcterms:W3CDTF">2025-11-27T13:46:48Z</dcterms:modified>
</cp:coreProperties>
</file>